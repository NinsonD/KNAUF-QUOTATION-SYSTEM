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M-2026-459" state="visible" r:id="rId4"/>
  </sheets>
  <calcPr calcId="171027"/>
</workbook>
</file>

<file path=xl/sharedStrings.xml><?xml version="1.0" encoding="utf-8"?>
<sst xmlns="http://schemas.openxmlformats.org/spreadsheetml/2006/main" count="69" uniqueCount="57">
  <si>
    <t>Al Namariq Building Material Trading Co. LLC</t>
  </si>
  <si>
    <t>P.O. 25569, Sharjah. Ph:(06) 5328033, Fax:(06) 5328302</t>
  </si>
  <si>
    <t>OFFICIAL COMMERCIAL QUOTATION</t>
  </si>
  <si>
    <t>Project Name:</t>
  </si>
  <si>
    <t>Commercial Office Fitout &amp; Partitions</t>
  </si>
  <si>
    <t>Client:</t>
  </si>
  <si>
    <t>Main Contracting LLC</t>
  </si>
  <si>
    <t>Product Specified:</t>
  </si>
  <si>
    <t>KNAUF SYSTEM KW 111</t>
  </si>
  <si>
    <t>Scale of Project:</t>
  </si>
  <si>
    <t>M²</t>
  </si>
  <si>
    <t>Salesman:</t>
  </si>
  <si>
    <t>Ram Prasad</t>
  </si>
  <si>
    <t>QTN No:</t>
  </si>
  <si>
    <t>ANM-2026-459</t>
  </si>
  <si>
    <t>PRODUCT NAME</t>
  </si>
  <si>
    <t>MATERIAL REQUIREMENT FOR 1 m²</t>
  </si>
  <si>
    <t>UNIT</t>
  </si>
  <si>
    <t>TOTAL PROJECT QTY.</t>
  </si>
  <si>
    <t>UNIT PRICE (AED)</t>
  </si>
  <si>
    <t>TOTAL PRICE (AED)</t>
  </si>
  <si>
    <t>KNAUF Regular Gypsum Board GW-R 12.7x1220x2400mm</t>
  </si>
  <si>
    <t>m²</t>
  </si>
  <si>
    <t>KNAUF CW 70/35/0.6mm 3000mm</t>
  </si>
  <si>
    <t>m</t>
  </si>
  <si>
    <t>KNAUF UW 70/32/0.6mm 3000mm</t>
  </si>
  <si>
    <t>KNAUF Insulation 50mm 16 kg/m3</t>
  </si>
  <si>
    <t>KNAUF Drywall Screw TN 3.5x25 Screw (1000)</t>
  </si>
  <si>
    <t>pcs</t>
  </si>
  <si>
    <t>KNAUF Hammer Fixing 6x40mm (200)</t>
  </si>
  <si>
    <t>KNAUF Acoustical Sealing Tape 70mmx25m</t>
  </si>
  <si>
    <t>KNAUF Acoustic Sealant 280ml</t>
  </si>
  <si>
    <t>KNAUF Joint Tape 50mm/90m</t>
  </si>
  <si>
    <t>KNAUF Readyfix Joint Compound 28Kg.</t>
  </si>
  <si>
    <t>kg</t>
  </si>
  <si>
    <t>KNAUF Wafer Head Screw LN 4.2x11mm (1000)</t>
  </si>
  <si>
    <t>TOTAL (AED)</t>
  </si>
  <si>
    <t>RATE / m²</t>
  </si>
  <si>
    <t>Head Deflection Components (Structural Movement Accommodation)</t>
  </si>
  <si>
    <t>KNAUF (FR) GW-TX 12.7x1200x2400mm (board strip)</t>
  </si>
  <si>
    <t>KNAUF Section Angle 60/25 0.5 x 3000mm</t>
  </si>
  <si>
    <t>KNAUF FR Sealant 280ml</t>
  </si>
  <si>
    <t>KNAUF Wedge Anchor (200)</t>
  </si>
  <si>
    <t>KNAUF Concrete Screwbolt 7.5x100mm (100pcs)</t>
  </si>
  <si>
    <t>DEFLECTION TOTAL (AED)</t>
  </si>
  <si>
    <t>GRAND TOTAL (AED)</t>
  </si>
  <si>
    <t>GRAND RATE / m²</t>
  </si>
  <si>
    <t>Term &amp; Conditions:</t>
  </si>
  <si>
    <t>1) Above consumption is based on theoretical calculation. The material requirement is based on the standard Knauf system proposed and does not include wastage or overlaps. It is the responsibility of the customer to verify actual quantity against BOQ, final drawings and site conditions before placing orders. Al Namariq will not be liable for any variations required for the project.</t>
  </si>
  <si>
    <t>2) Material will be supplied as per bundle/packaging multiple in full trailer load only.</t>
  </si>
  <si>
    <t>3) Non standard materials leadtime is approx 3-4 weeks upon receipt of confirmed order.</t>
  </si>
  <si>
    <t>4) Merchandise or imported goods will take 6-8 weeks.</t>
  </si>
  <si>
    <t>5) Delivery schedule is a must to plan supply and initiate production.</t>
  </si>
  <si>
    <t>6) The technical proposal for this project will be submitted upon confirmation.</t>
  </si>
  <si>
    <t>7) Standard sales terms &amp; conditions apply.</t>
  </si>
  <si>
    <t>Prepared by:  _____________________</t>
  </si>
  <si>
    <t>Authorized by: 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</si>
</sst>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3" x14ac:knownFonts="1">
    <font>
      <color theme="1"/>
      <family val="2"/>
      <scheme val="minor"/>
      <sz val="11"/>
      <name val="Calibri"/>
    </font>
    <font>
      <b/>
      <color rgb="FF00488E"/>
      <sz val="14"/>
    </font>
    <font>
      <i/>
      <sz val="10"/>
    </font>
    <font>
      <b/>
      <color rgb="FF00488E"/>
      <sz val="13"/>
    </font>
    <font>
      <b/>
    </font>
    <font>
      <b/>
      <color rgb="FFFFFFFF"/>
    </font>
    <font>
      <b/>
      <color rgb="FF00488E"/>
    </font>
    <font>
      <b/>
      <i/>
      <color rgb="FF047857"/>
    </font>
    <font>
      <b/>
      <color rgb="FF047857"/>
    </font>
    <font>
      <b/>
      <color rgb="FFFFFFFF"/>
      <sz val="12"/>
    </font>
    <font>
      <b/>
      <color rgb="FFF86C29"/>
      <sz val="12"/>
    </font>
    <font>
      <b/>
      <color rgb="FFF86C29"/>
    </font>
    <font>
      <sz val="9"/>
    </font>
  </fonts>
  <fills count="4">
    <fill>
      <patternFill patternType="none"/>
    </fill>
    <fill>
      <patternFill patternType="gray125"/>
    </fill>
    <fill>
      <patternFill patternType="solid">
        <fgColor rgb="FF00488E"/>
      </patternFill>
    </fill>
    <fill>
      <patternFill patternType="solid">
        <fgColor rgb="FF002D5A"/>
      </patternFill>
    </fill>
  </fills>
  <borders count="2">
    <border>
      <left/>
      <right/>
      <top/>
      <bottom/>
      <diagonal/>
    </border>
    <border>
      <left/>
      <right/>
      <top style="thin"/>
      <bottom style="mediu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2" borderId="1" xfId="0" applyFont="1" applyFill="1" applyBorder="1" applyAlignment="1">
      <alignment vertical="center"/>
    </xf>
    <xf numFmtId="164" fontId="0" fillId="0" borderId="0" xfId="0" applyNumberFormat="1"/>
    <xf numFmtId="165" fontId="0" fillId="0" borderId="0" xfId="0" applyNumberFormat="1"/>
    <xf numFmtId="4" fontId="0" fillId="0" borderId="0" xfId="0" applyNumberFormat="1"/>
    <xf numFmtId="0" fontId="6" fillId="0" borderId="0" xfId="0" applyFont="1"/>
    <xf numFmtId="4" fontId="6" fillId="0" borderId="0" xfId="0" applyNumberFormat="1" applyFont="1"/>
    <xf numFmtId="4" fontId="4" fillId="0" borderId="0" xfId="0" applyNumberFormat="1" applyFont="1"/>
    <xf numFmtId="0" fontId="7" fillId="0" borderId="0" xfId="0" applyFont="1"/>
    <xf numFmtId="0" fontId="8" fillId="0" borderId="0" xfId="0" applyFont="1"/>
    <xf numFmtId="4" fontId="8" fillId="0" borderId="0" xfId="0" applyNumberFormat="1" applyFont="1"/>
    <xf numFmtId="0" fontId="9" fillId="3" borderId="0" xfId="0" applyFont="1" applyFill="1"/>
    <xf numFmtId="4" fontId="10" fillId="3" borderId="0" xfId="0" applyNumberFormat="1" applyFont="1" applyFill="1"/>
    <xf numFmtId="4" fontId="11" fillId="0" borderId="0" xfId="0" applyNumberFormat="1"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55000</xdr:colOff>
      <xdr:row>0</xdr:row>
      <xdr:rowOff>72000</xdr:rowOff>
    </xdr:from>
    <xdr:ext cx="1333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J50"/>
  <sheetViews>
    <sheetView workbookViewId="0"/>
  </sheetViews>
  <sheetFormatPr defaultRowHeight="15" outlineLevelRow="0" outlineLevelCol="0" x14ac:dyDescent="55"/>
  <cols>
    <col min="1" max="1" width="55" customWidth="1"/>
    <col min="2" max="5" width="12" customWidth="1"/>
    <col min="6" max="6" width="16" customWidth="1"/>
    <col min="7" max="7" width="10" customWidth="1"/>
    <col min="8" max="8" width="22" customWidth="1"/>
    <col min="9" max="9" width="18" customWidth="1"/>
    <col min="10" max="10" width="20" customWidth="1"/>
  </cols>
  <sheetData>
    <row r="5" spans="1:10" x14ac:dyDescent="0.25">
      <c r="A5" s="1" t="s">
        <v>0</v>
      </c>
      <c r="B5" s="1"/>
      <c r="C5" s="1"/>
      <c r="D5" s="1"/>
      <c r="E5" s="1"/>
      <c r="F5" s="1"/>
      <c r="G5" s="1"/>
      <c r="H5" s="1"/>
      <c r="I5" s="1"/>
      <c r="J5" s="1"/>
    </row>
    <row r="6" spans="1:10" x14ac:dyDescent="0.25">
      <c r="A6" s="2" t="s">
        <v>1</v>
      </c>
      <c r="B6" s="2"/>
      <c r="C6" s="2"/>
      <c r="D6" s="2"/>
      <c r="E6" s="2"/>
      <c r="F6" s="2"/>
      <c r="G6" s="2"/>
      <c r="H6" s="2"/>
      <c r="I6" s="2"/>
      <c r="J6" s="2"/>
    </row>
    <row r="8" spans="1:10" x14ac:dyDescent="0.25">
      <c r="A8" s="3" t="s">
        <v>2</v>
      </c>
      <c r="B8" s="3"/>
      <c r="C8" s="3"/>
      <c r="D8" s="3"/>
      <c r="E8" s="3"/>
      <c r="F8" s="3"/>
      <c r="G8" s="3"/>
      <c r="H8" s="3"/>
      <c r="I8" s="3"/>
      <c r="J8" s="3"/>
    </row>
    <row r="9" spans="1:8" x14ac:dyDescent="0.25">
      <c r="A9" s="4" t="s">
        <v>3</v>
      </c>
      <c r="C9" t="s">
        <v>4</v>
      </c>
      <c r="F9" s="4" t="s">
        <v>5</v>
      </c>
      <c r="H9" t="s">
        <v>6</v>
      </c>
    </row>
    <row r="10" spans="1:9" x14ac:dyDescent="0.25">
      <c r="A10" s="4" t="s">
        <v>7</v>
      </c>
      <c r="C10" t="s">
        <v>8</v>
      </c>
      <c r="F10" s="4" t="s">
        <v>9</v>
      </c>
      <c r="H10">
        <v>1000</v>
      </c>
      <c r="I10" t="s">
        <v>10</v>
      </c>
    </row>
    <row r="11" spans="1:8" x14ac:dyDescent="0.25">
      <c r="A11" s="4" t="s">
        <v>11</v>
      </c>
      <c r="C11" t="s">
        <v>12</v>
      </c>
      <c r="F11" s="4" t="s">
        <v>13</v>
      </c>
      <c r="H11" t="s">
        <v>14</v>
      </c>
    </row>
    <row r="13" spans="1:10" x14ac:dyDescent="0.25">
      <c r="A13" s="5" t="s">
        <v>15</v>
      </c>
      <c r="F13" s="5" t="s">
        <v>16</v>
      </c>
      <c r="G13" s="5" t="s">
        <v>17</v>
      </c>
      <c r="H13" s="5" t="s">
        <v>18</v>
      </c>
      <c r="I13" s="5" t="s">
        <v>19</v>
      </c>
      <c r="J13" s="5" t="s">
        <v>20</v>
      </c>
    </row>
    <row r="14" spans="1:10" x14ac:dyDescent="0.25">
      <c r="A14" t="s">
        <v>21</v>
      </c>
      <c r="F14" s="6">
        <v>2.05</v>
      </c>
      <c r="G14" t="s">
        <v>22</v>
      </c>
      <c r="H14" s="7">
        <f>H10*F14</f>
        <v>2050</v>
      </c>
      <c r="I14" s="7">
        <v>9.5</v>
      </c>
      <c r="J14" s="8">
        <f>H14*I14</f>
        <v>19475</v>
      </c>
    </row>
    <row r="15" spans="1:10" x14ac:dyDescent="0.25">
      <c r="A15" t="s">
        <v>23</v>
      </c>
      <c r="F15" s="6">
        <v>2</v>
      </c>
      <c r="G15" t="s">
        <v>24</v>
      </c>
      <c r="H15" s="7">
        <f>H10*F15</f>
        <v>2000</v>
      </c>
      <c r="I15" s="7">
        <v>4.2</v>
      </c>
      <c r="J15" s="8">
        <f>H15*I15</f>
        <v>8400</v>
      </c>
    </row>
    <row r="16" spans="1:10" x14ac:dyDescent="0.25">
      <c r="A16" t="s">
        <v>25</v>
      </c>
      <c r="F16" s="6">
        <v>0.8</v>
      </c>
      <c r="G16" t="s">
        <v>24</v>
      </c>
      <c r="H16" s="7">
        <f>H10*F16</f>
        <v>800</v>
      </c>
      <c r="I16" s="7">
        <v>3.8</v>
      </c>
      <c r="J16" s="8">
        <f>H16*I16</f>
        <v>3040</v>
      </c>
    </row>
    <row r="17" spans="1:10" x14ac:dyDescent="0.25">
      <c r="A17" t="s">
        <v>26</v>
      </c>
      <c r="F17" s="6">
        <v>1</v>
      </c>
      <c r="G17" t="s">
        <v>22</v>
      </c>
      <c r="H17" s="7">
        <f>H10*F17</f>
        <v>1000</v>
      </c>
      <c r="I17" s="7">
        <v>6.5</v>
      </c>
      <c r="J17" s="8">
        <f>H17*I17</f>
        <v>6500</v>
      </c>
    </row>
    <row r="18" spans="1:10" x14ac:dyDescent="0.25">
      <c r="A18" t="s">
        <v>27</v>
      </c>
      <c r="F18" s="6">
        <v>30</v>
      </c>
      <c r="G18" t="s">
        <v>28</v>
      </c>
      <c r="H18" s="7">
        <f>H10*F18</f>
        <v>30000</v>
      </c>
      <c r="I18" s="7">
        <v>0.017</v>
      </c>
      <c r="J18" s="8">
        <f>H18*I18</f>
        <v>510</v>
      </c>
    </row>
    <row r="19" spans="1:10" x14ac:dyDescent="0.25">
      <c r="A19" t="s">
        <v>29</v>
      </c>
      <c r="F19" s="6">
        <v>1.6</v>
      </c>
      <c r="G19" t="s">
        <v>28</v>
      </c>
      <c r="H19" s="7">
        <f>H10*F19</f>
        <v>1600</v>
      </c>
      <c r="I19" s="7">
        <v>0.12</v>
      </c>
      <c r="J19" s="8">
        <f>H19*I19</f>
        <v>192</v>
      </c>
    </row>
    <row r="20" spans="1:10" x14ac:dyDescent="0.25">
      <c r="A20" t="s">
        <v>30</v>
      </c>
      <c r="F20" s="6">
        <v>0.8</v>
      </c>
      <c r="G20" t="s">
        <v>24</v>
      </c>
      <c r="H20" s="7">
        <f>H10*F20</f>
        <v>800</v>
      </c>
      <c r="I20" s="7">
        <v>1.1</v>
      </c>
      <c r="J20" s="8">
        <f>H20*I20</f>
        <v>880</v>
      </c>
    </row>
    <row r="21" spans="1:10" x14ac:dyDescent="0.25">
      <c r="A21" t="s">
        <v>31</v>
      </c>
      <c r="F21" s="6">
        <v>0.2</v>
      </c>
      <c r="G21" t="s">
        <v>28</v>
      </c>
      <c r="H21" s="7">
        <f>H10*F21</f>
        <v>200</v>
      </c>
      <c r="I21" s="7">
        <v>12.5</v>
      </c>
      <c r="J21" s="8">
        <f>H21*I21</f>
        <v>2500</v>
      </c>
    </row>
    <row r="22" spans="1:10" x14ac:dyDescent="0.25">
      <c r="A22" t="s">
        <v>32</v>
      </c>
      <c r="F22" s="6">
        <v>3</v>
      </c>
      <c r="G22" t="s">
        <v>24</v>
      </c>
      <c r="H22" s="7">
        <f>H10*F22</f>
        <v>3000</v>
      </c>
      <c r="I22" s="7">
        <v>0.12</v>
      </c>
      <c r="J22" s="8">
        <f>H22*I22</f>
        <v>360</v>
      </c>
    </row>
    <row r="23" spans="1:10" x14ac:dyDescent="0.25">
      <c r="A23" t="s">
        <v>33</v>
      </c>
      <c r="F23" s="6">
        <v>0.8</v>
      </c>
      <c r="G23" t="s">
        <v>34</v>
      </c>
      <c r="H23" s="7">
        <f>H10*F23</f>
        <v>800</v>
      </c>
      <c r="I23" s="7">
        <v>1.43</v>
      </c>
      <c r="J23" s="8">
        <f>H23*I23</f>
        <v>1144</v>
      </c>
    </row>
    <row r="24" spans="1:10" x14ac:dyDescent="0.25">
      <c r="A24" t="s">
        <v>35</v>
      </c>
      <c r="F24" s="6">
        <v>2</v>
      </c>
      <c r="G24" t="s">
        <v>28</v>
      </c>
      <c r="H24" s="7">
        <f>H10*F24</f>
        <v>2000</v>
      </c>
      <c r="I24" s="7">
        <v>1.028</v>
      </c>
      <c r="J24" s="8">
        <f>H24*I24</f>
        <v>2056</v>
      </c>
    </row>
    <row r="26" spans="9:10" x14ac:dyDescent="0.25">
      <c r="I26" s="9" t="s">
        <v>36</v>
      </c>
      <c r="J26" s="10">
        <f>SUM(J14:J24)</f>
        <v>45057</v>
      </c>
    </row>
    <row r="27" spans="9:10" x14ac:dyDescent="0.25">
      <c r="I27" s="4" t="s">
        <v>37</v>
      </c>
      <c r="J27" s="11">
        <f>J26/H10</f>
        <v>45.06</v>
      </c>
    </row>
    <row r="29" spans="1:1" x14ac:dyDescent="0.25">
      <c r="A29" s="12" t="s">
        <v>38</v>
      </c>
    </row>
    <row r="30" spans="1:10" x14ac:dyDescent="0.25">
      <c r="A30" t="s">
        <v>39</v>
      </c>
      <c r="F30" s="6">
        <v>0.2</v>
      </c>
      <c r="G30" t="s">
        <v>22</v>
      </c>
      <c r="H30" s="7">
        <f>H10*F30</f>
        <v>200</v>
      </c>
      <c r="I30" s="7">
        <v>13.5</v>
      </c>
      <c r="J30" s="8">
        <f>H30*I30</f>
        <v>2700</v>
      </c>
    </row>
    <row r="31" spans="1:10" x14ac:dyDescent="0.25">
      <c r="A31" t="s">
        <v>40</v>
      </c>
      <c r="F31" s="6">
        <v>0.7</v>
      </c>
      <c r="G31" t="s">
        <v>24</v>
      </c>
      <c r="H31" s="7">
        <f>H10*F31</f>
        <v>700</v>
      </c>
      <c r="I31" s="7">
        <v>2.2</v>
      </c>
      <c r="J31" s="8">
        <f>H31*I31</f>
        <v>1540</v>
      </c>
    </row>
    <row r="32" spans="1:10" x14ac:dyDescent="0.25">
      <c r="A32" t="s">
        <v>41</v>
      </c>
      <c r="F32" s="6">
        <v>0.15</v>
      </c>
      <c r="G32" t="s">
        <v>28</v>
      </c>
      <c r="H32" s="7">
        <f>H10*F32</f>
        <v>150</v>
      </c>
      <c r="I32" s="7">
        <v>16</v>
      </c>
      <c r="J32" s="8">
        <f>H32*I32</f>
        <v>2400</v>
      </c>
    </row>
    <row r="33" spans="1:10" x14ac:dyDescent="0.25">
      <c r="A33" t="s">
        <v>42</v>
      </c>
      <c r="F33" s="6">
        <v>0.8</v>
      </c>
      <c r="G33" t="s">
        <v>28</v>
      </c>
      <c r="H33" s="7">
        <f>H10*F33</f>
        <v>800</v>
      </c>
      <c r="I33" s="7">
        <v>0.43</v>
      </c>
      <c r="J33" s="8">
        <f>H33*I33</f>
        <v>344</v>
      </c>
    </row>
    <row r="34" spans="1:10" x14ac:dyDescent="0.25">
      <c r="A34" t="s">
        <v>43</v>
      </c>
      <c r="F34" s="6">
        <v>0.6</v>
      </c>
      <c r="G34" t="s">
        <v>28</v>
      </c>
      <c r="H34" s="7">
        <f>H10*F34</f>
        <v>600</v>
      </c>
      <c r="I34" s="7">
        <v>0.85</v>
      </c>
      <c r="J34" s="8">
        <f>H34*I34</f>
        <v>510</v>
      </c>
    </row>
    <row r="36" spans="9:10" x14ac:dyDescent="0.25">
      <c r="I36" s="13" t="s">
        <v>44</v>
      </c>
      <c r="J36" s="14">
        <f>SUM(J30:J34)</f>
        <v>7494</v>
      </c>
    </row>
    <row r="37" spans="9:10" x14ac:dyDescent="0.25">
      <c r="I37" s="15" t="s">
        <v>45</v>
      </c>
      <c r="J37" s="16">
        <f>J26+J36</f>
        <v>52551</v>
      </c>
    </row>
    <row r="38" spans="9:10" x14ac:dyDescent="0.25">
      <c r="I38" s="4" t="s">
        <v>46</v>
      </c>
      <c r="J38" s="17">
        <f>J37/H10</f>
        <v>52.55</v>
      </c>
    </row>
    <row r="40" spans="1:1" x14ac:dyDescent="0.25">
      <c r="A40" s="9" t="s">
        <v>47</v>
      </c>
    </row>
    <row r="41" spans="1:1" x14ac:dyDescent="0.25">
      <c r="A41" s="18" t="s">
        <v>48</v>
      </c>
    </row>
    <row r="42" spans="1:1" x14ac:dyDescent="0.25">
      <c r="A42" s="18" t="s">
        <v>49</v>
      </c>
    </row>
    <row r="43" spans="1:1" x14ac:dyDescent="0.25">
      <c r="A43" s="18" t="s">
        <v>50</v>
      </c>
    </row>
    <row r="44" spans="1:1" x14ac:dyDescent="0.25">
      <c r="A44" s="18" t="s">
        <v>51</v>
      </c>
    </row>
    <row r="45" spans="1:1" x14ac:dyDescent="0.25">
      <c r="A45" s="18" t="s">
        <v>52</v>
      </c>
    </row>
    <row r="46" spans="1:1" x14ac:dyDescent="0.25">
      <c r="A46" s="18" t="s">
        <v>53</v>
      </c>
    </row>
    <row r="47" spans="1:1" x14ac:dyDescent="0.25">
      <c r="A47" s="18" t="s">
        <v>54</v>
      </c>
    </row>
    <row r="50" spans="1:6" x14ac:dyDescent="0.25">
      <c r="A50" s="4" t="s">
        <v>55</v>
      </c>
      <c r="F50" s="4" t="s">
        <v>56</v>
      </c>
    </row>
  </sheetData>
  <mergeCells count="3">
    <mergeCell ref="A5:J5"/>
    <mergeCell ref="A6:J6"/>
    <mergeCell ref="A8:J8"/>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ANM-2026-459</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2026-10-12T06:55:54Z</dcterms:created>
  <dcterms:modified xsi:type="dcterms:W3CDTF">2026-10-12T06:55:54Z</dcterms:modified>
</cp:coreProperties>
</file>